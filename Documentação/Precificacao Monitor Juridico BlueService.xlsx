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\Blue-Service\Monitor Juridico\Documentação\"/>
    </mc:Choice>
  </mc:AlternateContent>
  <xr:revisionPtr revIDLastSave="0" documentId="13_ncr:1_{9550B3B9-3E36-43C8-8761-2DFE83B143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shboard_Cliente" sheetId="1" r:id="rId1"/>
    <sheet name="Parametros" sheetId="2" r:id="rId2"/>
    <sheet name="Volumes" sheetId="3" r:id="rId3"/>
    <sheet name="Custos" sheetId="4" r:id="rId4"/>
    <sheet name="Pricing" sheetId="5" r:id="rId5"/>
    <sheet name="Financial_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4" i="6"/>
  <c r="A4" i="6"/>
  <c r="D3" i="6"/>
  <c r="D2" i="6"/>
  <c r="A5" i="5"/>
  <c r="A5" i="6" s="1"/>
  <c r="A4" i="5"/>
  <c r="A3" i="5"/>
  <c r="A3" i="6" s="1"/>
  <c r="A2" i="5"/>
  <c r="C16" i="1" s="1"/>
  <c r="A5" i="4"/>
  <c r="C5" i="4" s="1"/>
  <c r="A4" i="4"/>
  <c r="B3" i="4"/>
  <c r="G3" i="6" s="1"/>
  <c r="J3" i="6" s="1"/>
  <c r="A3" i="4"/>
  <c r="A2" i="4"/>
  <c r="C2" i="4" s="1"/>
  <c r="B6" i="2"/>
  <c r="B5" i="2"/>
  <c r="B4" i="2"/>
  <c r="C3" i="4" s="1"/>
  <c r="B3" i="2"/>
  <c r="C4" i="4" s="1"/>
  <c r="B2" i="2"/>
  <c r="B4" i="4" s="1"/>
  <c r="C19" i="1"/>
  <c r="C18" i="1"/>
  <c r="C17" i="1"/>
  <c r="B4" i="5" l="1"/>
  <c r="G4" i="6"/>
  <c r="J4" i="6" s="1"/>
  <c r="C2" i="5"/>
  <c r="F16" i="1"/>
  <c r="C5" i="5"/>
  <c r="F19" i="1"/>
  <c r="F8" i="1"/>
  <c r="C4" i="5"/>
  <c r="F18" i="1"/>
  <c r="F17" i="1"/>
  <c r="C3" i="5"/>
  <c r="B3" i="5"/>
  <c r="A2" i="6"/>
  <c r="B2" i="4"/>
  <c r="F7" i="1"/>
  <c r="B5" i="4"/>
  <c r="B2" i="5" l="1"/>
  <c r="G2" i="6"/>
  <c r="J2" i="6" s="1"/>
  <c r="C2" i="6"/>
  <c r="E16" i="1"/>
  <c r="E17" i="1"/>
  <c r="C3" i="6"/>
  <c r="B3" i="6"/>
  <c r="D17" i="1"/>
  <c r="E19" i="1"/>
  <c r="C5" i="6"/>
  <c r="I8" i="1"/>
  <c r="D18" i="1"/>
  <c r="B4" i="6"/>
  <c r="B5" i="5"/>
  <c r="G5" i="6"/>
  <c r="J5" i="6" s="1"/>
  <c r="E18" i="1"/>
  <c r="C4" i="6"/>
  <c r="E2" i="6" l="1"/>
  <c r="I2" i="6"/>
  <c r="B5" i="6"/>
  <c r="F5" i="6" s="1"/>
  <c r="H7" i="1"/>
  <c r="D19" i="1"/>
  <c r="E5" i="6"/>
  <c r="I5" i="6"/>
  <c r="H8" i="1" s="1"/>
  <c r="E3" i="6"/>
  <c r="F3" i="6" s="1"/>
  <c r="I3" i="6"/>
  <c r="I4" i="6"/>
  <c r="E4" i="6"/>
  <c r="F4" i="6" s="1"/>
  <c r="D16" i="1"/>
  <c r="B2" i="6"/>
  <c r="F2" i="6" s="1"/>
  <c r="G17" i="1" l="1"/>
  <c r="H3" i="6"/>
  <c r="H17" i="1" s="1"/>
  <c r="H4" i="6"/>
  <c r="H18" i="1" s="1"/>
  <c r="G18" i="1"/>
  <c r="H2" i="6"/>
  <c r="H16" i="1" s="1"/>
  <c r="G16" i="1"/>
  <c r="G19" i="1"/>
  <c r="H5" i="6"/>
  <c r="H19" i="1" s="1"/>
</calcChain>
</file>

<file path=xl/sharedStrings.xml><?xml version="1.0" encoding="utf-8"?>
<sst xmlns="http://schemas.openxmlformats.org/spreadsheetml/2006/main" count="52" uniqueCount="47">
  <si>
    <t>Monitor Jurídico | Precificação (Resumo para Aprovação)</t>
  </si>
  <si>
    <t>Edite os campos em azul (assumptions) e avalie Setup + Mensalidade por faixa de volume. Valores calculados automaticamente.</t>
  </si>
  <si>
    <t>Premissas (Inputs)</t>
  </si>
  <si>
    <t>Indicadores (para leitura rápida)</t>
  </si>
  <si>
    <t>Custo de descoberta por CPF/CNPJ (R$)</t>
  </si>
  <si>
    <t>Entidades (cenário)</t>
  </si>
  <si>
    <t>Setup sugerido</t>
  </si>
  <si>
    <t>Mensalidade sugerida</t>
  </si>
  <si>
    <t>Custo de atualização por processo (R$)</t>
  </si>
  <si>
    <t>Custo API mensal estimado</t>
  </si>
  <si>
    <t>Payback (meses)</t>
  </si>
  <si>
    <t>Média de processos por entidade</t>
  </si>
  <si>
    <t>Margem desejada (%)</t>
  </si>
  <si>
    <t>Prazo de contrato (meses)</t>
  </si>
  <si>
    <t>CAC estimado por cliente (R$)</t>
  </si>
  <si>
    <t>Tabela de Precificação por Volume (proposta)</t>
  </si>
  <si>
    <t>Plano</t>
  </si>
  <si>
    <t>Entidades</t>
  </si>
  <si>
    <t>Setup (R$)</t>
  </si>
  <si>
    <t>Mensal (R$)</t>
  </si>
  <si>
    <t>Custo API Mensal (R$)</t>
  </si>
  <si>
    <t>LTV 24m (R$)</t>
  </si>
  <si>
    <t>Lucro Bruto 24m (R$)</t>
  </si>
  <si>
    <t>Starter</t>
  </si>
  <si>
    <t>Business</t>
  </si>
  <si>
    <t>Corporate</t>
  </si>
  <si>
    <t>Enterprise</t>
  </si>
  <si>
    <t>Observações:
1) Setup cobre o custo de descoberta inicial (consulta por CPF/CNPJ) e implantação.
2) Mensalidade cobre monitoramento e atualizações. Custos de API variam conforme volume e profundidade de dados (documentos, autos, etc.).
Referência de cobrança: https://api.escavador.com/servicos</t>
  </si>
  <si>
    <t>Parametro</t>
  </si>
  <si>
    <t>Valor</t>
  </si>
  <si>
    <t>Custo Descoberta por CPF/CNPJ (R$)</t>
  </si>
  <si>
    <t>Custo Atualizacao por Processo (R$)</t>
  </si>
  <si>
    <t>Media de Processos por Entidade</t>
  </si>
  <si>
    <t>Margem Desejada</t>
  </si>
  <si>
    <t>Entidades Monitoradas</t>
  </si>
  <si>
    <t>Custo Implantacao</t>
  </si>
  <si>
    <t>Custo Mensal</t>
  </si>
  <si>
    <t>Setup Sugerido</t>
  </si>
  <si>
    <t>Mensalidade Sugerida</t>
  </si>
  <si>
    <t>Setup</t>
  </si>
  <si>
    <t>Mensalidade</t>
  </si>
  <si>
    <t>CAC (Exemplo)</t>
  </si>
  <si>
    <t>LTV (24 meses)</t>
  </si>
  <si>
    <t>Receita Total 24m</t>
  </si>
  <si>
    <t>Custo Total 24m</t>
  </si>
  <si>
    <t>Lucro Bruto 24m</t>
  </si>
  <si>
    <t>Break Even Receita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</si>
</sst>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R\$\ #,##0.00"/>
    <numFmt numFmtId="165" formatCode="0.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9"/>
      <color rgb="FF55606E"/>
      <name val="Calibri"/>
    </font>
    <font>
      <b/>
      <sz val="12"/>
      <color rgb="FFFFFFFF"/>
      <name val="Calibri"/>
    </font>
    <font>
      <b/>
      <sz val="10"/>
      <color rgb="FF1F2D3D"/>
      <name val="Calibri"/>
    </font>
    <font>
      <sz val="10"/>
      <color rgb="FF0000FF"/>
      <name val="Calibri"/>
    </font>
    <font>
      <b/>
      <sz val="14"/>
      <color rgb="FF1F2D3D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2F6B"/>
      </patternFill>
    </fill>
    <fill>
      <patternFill patternType="solid">
        <fgColor rgb="FF1E5AA8"/>
      </patternFill>
    </fill>
    <fill>
      <patternFill patternType="solid">
        <fgColor rgb="FFF5F7FA"/>
      </patternFill>
    </fill>
    <fill>
      <patternFill patternType="solid">
        <fgColor rgb="FFEAF2FF"/>
      </patternFill>
    </fill>
    <fill>
      <patternFill patternType="solid">
        <fgColor rgb="FFEEF7F0"/>
      </patternFill>
    </fill>
    <fill>
      <patternFill patternType="solid">
        <fgColor rgb="FFFFFFFF"/>
      </patternFill>
    </fill>
    <fill>
      <patternFill patternType="solid">
        <fgColor rgb="FFFFF3E6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3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3" fontId="8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43" fontId="0" fillId="0" borderId="0" xfId="1" applyFont="1"/>
    <xf numFmtId="0" fontId="3" fillId="3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8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Mensalidade por Plano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Dashboard_Cliente!$E$15</c:f>
              <c:strCache>
                <c:ptCount val="1"/>
                <c:pt idx="0">
                  <c:v>Mensal (R$)</c:v>
                </c:pt>
              </c:strCache>
            </c:strRef>
          </c:tx>
          <c:spPr>
            <a:ln/>
          </c:spPr>
          <c:invertIfNegative val="1"/>
          <c:cat>
            <c:strRef>
              <c:f>Dashboard_Cliente!$B$16:$B$19</c:f>
              <c:strCache>
                <c:ptCount val="4"/>
                <c:pt idx="0">
                  <c:v>Starter</c:v>
                </c:pt>
                <c:pt idx="1">
                  <c:v>Business</c:v>
                </c:pt>
                <c:pt idx="2">
                  <c:v>Corporate</c:v>
                </c:pt>
                <c:pt idx="3">
                  <c:v>Enterprise</c:v>
                </c:pt>
              </c:strCache>
            </c:strRef>
          </c:cat>
          <c:val>
            <c:numRef>
              <c:f>Dashboard_Cliente!$E$16:$E$19</c:f>
              <c:numCache>
                <c:formatCode>\R\$\ #,##0.00</c:formatCode>
                <c:ptCount val="4"/>
                <c:pt idx="0">
                  <c:v>60</c:v>
                </c:pt>
                <c:pt idx="1">
                  <c:v>800</c:v>
                </c:pt>
                <c:pt idx="2">
                  <c:v>2000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FA6-9961-2E4120C8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128130869657743"/>
          <c:y val="0.16228773521953824"/>
          <c:w val="0.1383191613386752"/>
          <c:h val="0.25379527559055121"/>
        </c:manualLayout>
      </c:layout>
      <c:overlay val="1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/>
              <a:t>Custo API Mensal (estimado)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Dashboard_Cliente!$F$15</c:f>
              <c:strCache>
                <c:ptCount val="1"/>
                <c:pt idx="0">
                  <c:v>Custo API Mensal (R$)</c:v>
                </c:pt>
              </c:strCache>
            </c:strRef>
          </c:tx>
          <c:spPr>
            <a:ln/>
          </c:spPr>
          <c:marker>
            <c:symbol val="none"/>
          </c:marker>
          <c:cat>
            <c:strRef>
              <c:f>Dashboard_Cliente!$B$16:$B$19</c:f>
              <c:strCache>
                <c:ptCount val="4"/>
                <c:pt idx="0">
                  <c:v>Starter</c:v>
                </c:pt>
                <c:pt idx="1">
                  <c:v>Business</c:v>
                </c:pt>
                <c:pt idx="2">
                  <c:v>Corporate</c:v>
                </c:pt>
                <c:pt idx="3">
                  <c:v>Enterprise</c:v>
                </c:pt>
              </c:strCache>
            </c:strRef>
          </c:cat>
          <c:val>
            <c:numRef>
              <c:f>Dashboard_Cliente!$F$16:$F$19</c:f>
              <c:numCache>
                <c:formatCode>\R\$\ #,##0.00</c:formatCode>
                <c:ptCount val="4"/>
                <c:pt idx="0">
                  <c:v>18</c:v>
                </c:pt>
                <c:pt idx="1">
                  <c:v>240</c:v>
                </c:pt>
                <c:pt idx="2">
                  <c:v>600</c:v>
                </c:pt>
                <c:pt idx="3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E-4A50-8711-DEF5A307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260350</xdr:colOff>
      <xdr:row>15</xdr:row>
      <xdr:rowOff>82550</xdr:rowOff>
    </xdr:from>
    <xdr:to>
      <xdr:col>18</xdr:col>
      <xdr:colOff>177800</xdr:colOff>
      <xdr:row>35</xdr:row>
      <xdr:rowOff>19050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234950</xdr:colOff>
      <xdr:row>0</xdr:row>
      <xdr:rowOff>165100</xdr:rowOff>
    </xdr:from>
    <xdr:to>
      <xdr:col>18</xdr:col>
      <xdr:colOff>82550</xdr:colOff>
      <xdr:row>14</xdr:row>
      <xdr:rowOff>50800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showGridLines="0" tabSelected="1" workbookViewId="0">
      <selection activeCell="E16" sqref="E16"/>
    </sheetView>
  </sheetViews>
  <sheetFormatPr defaultRowHeight="14.5" x14ac:dyDescent="0.35"/>
  <cols>
    <col min="1" max="1" width="2" customWidth="1"/>
    <col min="2" max="2" width="31.36328125" bestFit="1" customWidth="1"/>
    <col min="3" max="3" width="18" customWidth="1"/>
    <col min="4" max="4" width="11.36328125" bestFit="1" customWidth="1"/>
    <col min="5" max="9" width="20" customWidth="1"/>
  </cols>
  <sheetData>
    <row r="2" spans="2:9" x14ac:dyDescent="0.35">
      <c r="B2" s="22" t="s">
        <v>0</v>
      </c>
      <c r="C2" s="23"/>
      <c r="D2" s="23"/>
      <c r="E2" s="23"/>
      <c r="F2" s="23"/>
      <c r="G2" s="23"/>
      <c r="H2" s="23"/>
      <c r="I2" s="23"/>
    </row>
    <row r="3" spans="2:9" x14ac:dyDescent="0.35">
      <c r="B3" s="23"/>
      <c r="C3" s="23"/>
      <c r="D3" s="23"/>
      <c r="E3" s="23"/>
      <c r="F3" s="23"/>
      <c r="G3" s="23"/>
      <c r="H3" s="23"/>
      <c r="I3" s="23"/>
    </row>
    <row r="4" spans="2:9" x14ac:dyDescent="0.35">
      <c r="B4" s="32" t="s">
        <v>1</v>
      </c>
      <c r="C4" s="23"/>
      <c r="D4" s="23"/>
      <c r="E4" s="23"/>
      <c r="F4" s="23"/>
      <c r="G4" s="23"/>
      <c r="H4" s="23"/>
      <c r="I4" s="23"/>
    </row>
    <row r="6" spans="2:9" ht="15.5" x14ac:dyDescent="0.35">
      <c r="B6" s="19" t="s">
        <v>2</v>
      </c>
      <c r="C6" s="20"/>
      <c r="E6" s="19" t="s">
        <v>3</v>
      </c>
      <c r="F6" s="21"/>
      <c r="G6" s="21"/>
      <c r="H6" s="21"/>
      <c r="I6" s="20"/>
    </row>
    <row r="7" spans="2:9" ht="18.5" x14ac:dyDescent="0.35">
      <c r="B7" s="1" t="s">
        <v>4</v>
      </c>
      <c r="C7" s="2">
        <v>3.05</v>
      </c>
      <c r="E7" s="1" t="s">
        <v>5</v>
      </c>
      <c r="F7" s="3">
        <f>Pricing!A5</f>
        <v>20000</v>
      </c>
      <c r="G7" s="1" t="s">
        <v>6</v>
      </c>
      <c r="H7" s="4">
        <f>ROUND(Pricing!B5,2)</f>
        <v>203333.33</v>
      </c>
      <c r="I7" s="1" t="s">
        <v>7</v>
      </c>
    </row>
    <row r="8" spans="2:9" ht="18.5" x14ac:dyDescent="0.35">
      <c r="B8" s="1" t="s">
        <v>8</v>
      </c>
      <c r="C8" s="2">
        <v>0.04</v>
      </c>
      <c r="E8" s="1" t="s">
        <v>9</v>
      </c>
      <c r="F8" s="4">
        <f>ROUND(Custos!C5,2)</f>
        <v>2400</v>
      </c>
      <c r="G8" s="1" t="s">
        <v>10</v>
      </c>
      <c r="H8" s="5">
        <f>ROUND(Financial_Model!I5,1)</f>
        <v>0.3</v>
      </c>
      <c r="I8" s="4">
        <f>ROUND(Pricing!C5,2)</f>
        <v>8000</v>
      </c>
    </row>
    <row r="9" spans="2:9" x14ac:dyDescent="0.35">
      <c r="B9" s="1" t="s">
        <v>11</v>
      </c>
      <c r="C9" s="6">
        <v>3</v>
      </c>
    </row>
    <row r="10" spans="2:9" x14ac:dyDescent="0.35">
      <c r="B10" s="1" t="s">
        <v>12</v>
      </c>
      <c r="C10" s="7">
        <v>0.7</v>
      </c>
    </row>
    <row r="11" spans="2:9" x14ac:dyDescent="0.35">
      <c r="B11" s="1" t="s">
        <v>13</v>
      </c>
      <c r="C11" s="6">
        <v>24</v>
      </c>
    </row>
    <row r="12" spans="2:9" x14ac:dyDescent="0.35">
      <c r="B12" s="1" t="s">
        <v>14</v>
      </c>
      <c r="C12" s="2">
        <v>2000</v>
      </c>
    </row>
    <row r="14" spans="2:9" ht="15.5" x14ac:dyDescent="0.35">
      <c r="B14" s="19" t="s">
        <v>15</v>
      </c>
      <c r="C14" s="21"/>
      <c r="D14" s="21"/>
      <c r="E14" s="21"/>
      <c r="F14" s="21"/>
      <c r="G14" s="21"/>
      <c r="H14" s="21"/>
      <c r="I14" s="20"/>
    </row>
    <row r="15" spans="2:9" x14ac:dyDescent="0.35"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  <c r="G15" s="8" t="s">
        <v>21</v>
      </c>
      <c r="H15" s="8" t="s">
        <v>22</v>
      </c>
    </row>
    <row r="16" spans="2:9" x14ac:dyDescent="0.35">
      <c r="B16" s="9" t="s">
        <v>23</v>
      </c>
      <c r="C16" s="10">
        <f>Pricing!A2</f>
        <v>150</v>
      </c>
      <c r="D16" s="11">
        <f>ROUND(Pricing!B2,2)</f>
        <v>1525</v>
      </c>
      <c r="E16" s="11">
        <f>ROUND(Pricing!C2,2)</f>
        <v>60</v>
      </c>
      <c r="F16" s="11">
        <f>ROUND(Custos!C2,2)</f>
        <v>18</v>
      </c>
      <c r="G16" s="11">
        <f>ROUND(Financial_Model!F2,2)</f>
        <v>2965</v>
      </c>
      <c r="H16" s="11">
        <f>ROUND(Financial_Model!H2,2)</f>
        <v>2075.5</v>
      </c>
    </row>
    <row r="17" spans="2:9" x14ac:dyDescent="0.35">
      <c r="B17" s="12" t="s">
        <v>24</v>
      </c>
      <c r="C17" s="13">
        <f>Pricing!A3</f>
        <v>2000</v>
      </c>
      <c r="D17" s="14">
        <f>ROUND(Pricing!B3,2)</f>
        <v>20333.330000000002</v>
      </c>
      <c r="E17" s="14">
        <f>ROUND(Pricing!C3,2)</f>
        <v>800</v>
      </c>
      <c r="F17" s="14">
        <f>ROUND(Custos!C3,2)</f>
        <v>240</v>
      </c>
      <c r="G17" s="14">
        <f>ROUND(Financial_Model!F3,2)</f>
        <v>39533.33</v>
      </c>
      <c r="H17" s="14">
        <f>ROUND(Financial_Model!H3,2)</f>
        <v>27673.33</v>
      </c>
    </row>
    <row r="18" spans="2:9" x14ac:dyDescent="0.35">
      <c r="B18" s="9" t="s">
        <v>25</v>
      </c>
      <c r="C18" s="10">
        <f>Pricing!A4</f>
        <v>5000</v>
      </c>
      <c r="D18" s="11">
        <f>ROUND(Pricing!B4,2)</f>
        <v>50833.33</v>
      </c>
      <c r="E18" s="11">
        <f>ROUND(Pricing!C4,2)</f>
        <v>2000</v>
      </c>
      <c r="F18" s="11">
        <f>ROUND(Custos!C4,2)</f>
        <v>600</v>
      </c>
      <c r="G18" s="11">
        <f>ROUND(Financial_Model!F4,2)</f>
        <v>98833.33</v>
      </c>
      <c r="H18" s="11">
        <f>ROUND(Financial_Model!H4,2)</f>
        <v>69183.33</v>
      </c>
    </row>
    <row r="19" spans="2:9" x14ac:dyDescent="0.35">
      <c r="B19" s="12" t="s">
        <v>26</v>
      </c>
      <c r="C19" s="13">
        <f>Pricing!A5</f>
        <v>20000</v>
      </c>
      <c r="D19" s="14">
        <f>ROUND(Pricing!B5,2)</f>
        <v>203333.33</v>
      </c>
      <c r="E19" s="14">
        <f>ROUND(Pricing!C5,2)</f>
        <v>8000</v>
      </c>
      <c r="F19" s="14">
        <f>ROUND(Custos!C5,2)</f>
        <v>2400</v>
      </c>
      <c r="G19" s="14">
        <f>ROUND(Financial_Model!F5,2)</f>
        <v>395333.33</v>
      </c>
      <c r="H19" s="14">
        <f>ROUND(Financial_Model!H5,2)</f>
        <v>276733.33</v>
      </c>
    </row>
    <row r="22" spans="2:9" x14ac:dyDescent="0.35">
      <c r="B22" s="24" t="s">
        <v>27</v>
      </c>
      <c r="C22" s="25"/>
      <c r="D22" s="25"/>
      <c r="E22" s="25"/>
      <c r="F22" s="25"/>
      <c r="G22" s="25"/>
      <c r="H22" s="25"/>
      <c r="I22" s="26"/>
    </row>
    <row r="23" spans="2:9" x14ac:dyDescent="0.35">
      <c r="B23" s="27"/>
      <c r="C23" s="23"/>
      <c r="D23" s="23"/>
      <c r="E23" s="23"/>
      <c r="F23" s="23"/>
      <c r="G23" s="23"/>
      <c r="H23" s="23"/>
      <c r="I23" s="28"/>
    </row>
    <row r="24" spans="2:9" ht="24.5" customHeight="1" x14ac:dyDescent="0.35">
      <c r="B24" s="29"/>
      <c r="C24" s="30"/>
      <c r="D24" s="30"/>
      <c r="E24" s="30"/>
      <c r="F24" s="30"/>
      <c r="G24" s="30"/>
      <c r="H24" s="30"/>
      <c r="I24" s="31"/>
    </row>
  </sheetData>
  <mergeCells count="6">
    <mergeCell ref="B6:C6"/>
    <mergeCell ref="E6:I6"/>
    <mergeCell ref="B2:I3"/>
    <mergeCell ref="B14:I14"/>
    <mergeCell ref="B22:I24"/>
    <mergeCell ref="B4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20" sqref="C18:C20"/>
    </sheetView>
  </sheetViews>
  <sheetFormatPr defaultColWidth="14" defaultRowHeight="14.5" x14ac:dyDescent="0.35"/>
  <cols>
    <col min="1" max="1" width="32.1796875" customWidth="1"/>
  </cols>
  <sheetData>
    <row r="1" spans="1:2" x14ac:dyDescent="0.35">
      <c r="A1" t="s">
        <v>28</v>
      </c>
      <c r="B1" t="s">
        <v>29</v>
      </c>
    </row>
    <row r="2" spans="1:2" x14ac:dyDescent="0.35">
      <c r="A2" t="s">
        <v>30</v>
      </c>
      <c r="B2" s="15">
        <f>Dashboard_Cliente!C7</f>
        <v>3.05</v>
      </c>
    </row>
    <row r="3" spans="1:2" x14ac:dyDescent="0.35">
      <c r="A3" t="s">
        <v>31</v>
      </c>
      <c r="B3" s="15">
        <f>Dashboard_Cliente!C8</f>
        <v>0.04</v>
      </c>
    </row>
    <row r="4" spans="1:2" x14ac:dyDescent="0.35">
      <c r="A4" t="s">
        <v>32</v>
      </c>
      <c r="B4" s="16">
        <f>Dashboard_Cliente!C9</f>
        <v>3</v>
      </c>
    </row>
    <row r="5" spans="1:2" x14ac:dyDescent="0.35">
      <c r="A5" t="s">
        <v>33</v>
      </c>
      <c r="B5" s="17">
        <f>Dashboard_Cliente!C10</f>
        <v>0.7</v>
      </c>
    </row>
    <row r="6" spans="1:2" x14ac:dyDescent="0.35">
      <c r="A6" t="s">
        <v>13</v>
      </c>
      <c r="B6" s="16">
        <f>Dashboard_Cliente!C11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3" sqref="A3"/>
    </sheetView>
  </sheetViews>
  <sheetFormatPr defaultRowHeight="14.5" x14ac:dyDescent="0.35"/>
  <cols>
    <col min="1" max="1" width="20.36328125" bestFit="1" customWidth="1"/>
    <col min="2" max="3" width="30" customWidth="1"/>
  </cols>
  <sheetData>
    <row r="1" spans="1:1" x14ac:dyDescent="0.35">
      <c r="A1" t="s">
        <v>34</v>
      </c>
    </row>
    <row r="2" spans="1:1" x14ac:dyDescent="0.35">
      <c r="A2">
        <v>150</v>
      </c>
    </row>
    <row r="3" spans="1:1" x14ac:dyDescent="0.35">
      <c r="A3">
        <v>2000</v>
      </c>
    </row>
    <row r="4" spans="1:1" x14ac:dyDescent="0.35">
      <c r="A4">
        <v>5000</v>
      </c>
    </row>
    <row r="5" spans="1:1" x14ac:dyDescent="0.35">
      <c r="A5"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sqref="A1:XFD1048576"/>
    </sheetView>
  </sheetViews>
  <sheetFormatPr defaultRowHeight="14.5" x14ac:dyDescent="0.35"/>
  <cols>
    <col min="1" max="1" width="9" bestFit="1" customWidth="1"/>
    <col min="2" max="2" width="17.81640625" style="18" bestFit="1" customWidth="1"/>
    <col min="3" max="3" width="13.453125" style="18" bestFit="1" customWidth="1"/>
  </cols>
  <sheetData>
    <row r="1" spans="1:3" x14ac:dyDescent="0.35">
      <c r="A1" t="s">
        <v>17</v>
      </c>
      <c r="B1" s="18" t="s">
        <v>35</v>
      </c>
      <c r="C1" s="18" t="s">
        <v>36</v>
      </c>
    </row>
    <row r="2" spans="1:3" x14ac:dyDescent="0.35">
      <c r="A2">
        <f>Volumes!A2</f>
        <v>150</v>
      </c>
      <c r="B2" s="18">
        <f>A2*Parametros!B2</f>
        <v>457.5</v>
      </c>
      <c r="C2" s="18">
        <f>A2*Parametros!B4*Parametros!B3</f>
        <v>18</v>
      </c>
    </row>
    <row r="3" spans="1:3" x14ac:dyDescent="0.35">
      <c r="A3">
        <f>Volumes!A3</f>
        <v>2000</v>
      </c>
      <c r="B3" s="18">
        <f>A3*Parametros!B2</f>
        <v>6100</v>
      </c>
      <c r="C3" s="18">
        <f>A3*Parametros!B4*Parametros!B3</f>
        <v>240</v>
      </c>
    </row>
    <row r="4" spans="1:3" x14ac:dyDescent="0.35">
      <c r="A4">
        <f>Volumes!A4</f>
        <v>5000</v>
      </c>
      <c r="B4" s="18">
        <f>A4*Parametros!B2</f>
        <v>15250</v>
      </c>
      <c r="C4" s="18">
        <f>A4*Parametros!B4*Parametros!B3</f>
        <v>600</v>
      </c>
    </row>
    <row r="5" spans="1:3" x14ac:dyDescent="0.35">
      <c r="A5">
        <f>Volumes!A5</f>
        <v>20000</v>
      </c>
      <c r="B5" s="18">
        <f>A5*Parametros!B2</f>
        <v>61000</v>
      </c>
      <c r="C5" s="18">
        <f>A5*Parametros!B4*Parametros!B3</f>
        <v>2400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sqref="A1:XFD1048576"/>
    </sheetView>
  </sheetViews>
  <sheetFormatPr defaultRowHeight="14.5" x14ac:dyDescent="0.35"/>
  <cols>
    <col min="1" max="1" width="9" bestFit="1" customWidth="1"/>
    <col min="2" max="2" width="14.6328125" style="18" bestFit="1" customWidth="1"/>
    <col min="3" max="3" width="20.6328125" style="18" bestFit="1" customWidth="1"/>
  </cols>
  <sheetData>
    <row r="1" spans="1:3" x14ac:dyDescent="0.35">
      <c r="A1" t="s">
        <v>17</v>
      </c>
      <c r="B1" s="18" t="s">
        <v>37</v>
      </c>
      <c r="C1" s="18" t="s">
        <v>38</v>
      </c>
    </row>
    <row r="2" spans="1:3" x14ac:dyDescent="0.35">
      <c r="A2">
        <f>Volumes!A2</f>
        <v>150</v>
      </c>
      <c r="B2" s="18">
        <f>Custos!B2/(1-Parametros!B5)</f>
        <v>1524.9999999999998</v>
      </c>
      <c r="C2" s="18">
        <f>Custos!C2/(1-Parametros!B5)</f>
        <v>59.999999999999993</v>
      </c>
    </row>
    <row r="3" spans="1:3" x14ac:dyDescent="0.35">
      <c r="A3">
        <f>Volumes!A3</f>
        <v>2000</v>
      </c>
      <c r="B3" s="18">
        <f>Custos!B3/(1-Parametros!B5)</f>
        <v>20333.333333333332</v>
      </c>
      <c r="C3" s="18">
        <f>Custos!C3/(1-Parametros!B5)</f>
        <v>799.99999999999989</v>
      </c>
    </row>
    <row r="4" spans="1:3" x14ac:dyDescent="0.35">
      <c r="A4">
        <f>Volumes!A4</f>
        <v>5000</v>
      </c>
      <c r="B4" s="18">
        <f>Custos!B4/(1-Parametros!B5)</f>
        <v>50833.333333333328</v>
      </c>
      <c r="C4" s="18">
        <f>Custos!C4/(1-Parametros!B5)</f>
        <v>1999.9999999999998</v>
      </c>
    </row>
    <row r="5" spans="1:3" x14ac:dyDescent="0.35">
      <c r="A5">
        <f>Volumes!A5</f>
        <v>20000</v>
      </c>
      <c r="B5" s="18">
        <f>Custos!B5/(1-Parametros!B5)</f>
        <v>203333.33333333331</v>
      </c>
      <c r="C5" s="18">
        <f>Custos!C5/(1-Parametros!B5)</f>
        <v>7999.9999999999991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sqref="A1:XFD1048576"/>
    </sheetView>
  </sheetViews>
  <sheetFormatPr defaultRowHeight="14.5" x14ac:dyDescent="0.35"/>
  <cols>
    <col min="1" max="1" width="9" bestFit="1" customWidth="1"/>
    <col min="2" max="2" width="11.08984375" style="18" bestFit="1" customWidth="1"/>
    <col min="3" max="3" width="12.90625" style="18" bestFit="1" customWidth="1"/>
    <col min="4" max="4" width="14.453125" style="18" bestFit="1" customWidth="1"/>
    <col min="5" max="5" width="14.54296875" style="18" bestFit="1" customWidth="1"/>
    <col min="6" max="6" width="17" style="18" bestFit="1" customWidth="1"/>
    <col min="7" max="7" width="15.6328125" style="18" bestFit="1" customWidth="1"/>
    <col min="8" max="9" width="15.90625" style="18" bestFit="1" customWidth="1"/>
    <col min="10" max="10" width="24.54296875" style="18" bestFit="1" customWidth="1"/>
  </cols>
  <sheetData>
    <row r="1" spans="1:10" x14ac:dyDescent="0.35">
      <c r="A1" t="s">
        <v>17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  <c r="I1" s="18" t="s">
        <v>10</v>
      </c>
      <c r="J1" s="18" t="s">
        <v>46</v>
      </c>
    </row>
    <row r="2" spans="1:10" x14ac:dyDescent="0.35">
      <c r="A2">
        <f>Pricing!A2</f>
        <v>150</v>
      </c>
      <c r="B2" s="18">
        <f>Pricing!B2</f>
        <v>1524.9999999999998</v>
      </c>
      <c r="C2" s="18">
        <f>Pricing!C2</f>
        <v>59.999999999999993</v>
      </c>
      <c r="D2" s="18">
        <f>Dashboard_Cliente!$C$12</f>
        <v>2000</v>
      </c>
      <c r="E2" s="18">
        <f>C2*Parametros!$B$6</f>
        <v>1439.9999999999998</v>
      </c>
      <c r="F2" s="18">
        <f>B2+E2</f>
        <v>2964.9999999999995</v>
      </c>
      <c r="G2" s="18">
        <f>Custos!B2+(Custos!C2*Parametros!$B$6)</f>
        <v>889.5</v>
      </c>
      <c r="H2" s="18">
        <f>F2-G2</f>
        <v>2075.4999999999995</v>
      </c>
      <c r="I2" s="18">
        <f>D2/C2</f>
        <v>33.333333333333336</v>
      </c>
      <c r="J2" s="18">
        <f>G2/Parametros!$B$6</f>
        <v>37.0625</v>
      </c>
    </row>
    <row r="3" spans="1:10" x14ac:dyDescent="0.35">
      <c r="A3">
        <f>Pricing!A3</f>
        <v>2000</v>
      </c>
      <c r="B3" s="18">
        <f>Pricing!B3</f>
        <v>20333.333333333332</v>
      </c>
      <c r="C3" s="18">
        <f>Pricing!C3</f>
        <v>799.99999999999989</v>
      </c>
      <c r="D3" s="18">
        <f>Dashboard_Cliente!$C$12</f>
        <v>2000</v>
      </c>
      <c r="E3" s="18">
        <f>C3*Parametros!$B$6</f>
        <v>19199.999999999996</v>
      </c>
      <c r="F3" s="18">
        <f>B3+E3</f>
        <v>39533.333333333328</v>
      </c>
      <c r="G3" s="18">
        <f>Custos!B3+(Custos!C3*Parametros!$B$6)</f>
        <v>11860</v>
      </c>
      <c r="H3" s="18">
        <f>F3-G3</f>
        <v>27673.333333333328</v>
      </c>
      <c r="I3" s="18">
        <f>D3/C3</f>
        <v>2.5000000000000004</v>
      </c>
      <c r="J3" s="18">
        <f>G3/Parametros!$B$6</f>
        <v>494.16666666666669</v>
      </c>
    </row>
    <row r="4" spans="1:10" x14ac:dyDescent="0.35">
      <c r="A4">
        <f>Pricing!A4</f>
        <v>5000</v>
      </c>
      <c r="B4" s="18">
        <f>Pricing!B4</f>
        <v>50833.333333333328</v>
      </c>
      <c r="C4" s="18">
        <f>Pricing!C4</f>
        <v>1999.9999999999998</v>
      </c>
      <c r="D4" s="18">
        <f>Dashboard_Cliente!$C$12</f>
        <v>2000</v>
      </c>
      <c r="E4" s="18">
        <f>C4*Parametros!$B$6</f>
        <v>47999.999999999993</v>
      </c>
      <c r="F4" s="18">
        <f>B4+E4</f>
        <v>98833.333333333314</v>
      </c>
      <c r="G4" s="18">
        <f>Custos!B4+(Custos!C4*Parametros!$B$6)</f>
        <v>29650</v>
      </c>
      <c r="H4" s="18">
        <f>F4-G4</f>
        <v>69183.333333333314</v>
      </c>
      <c r="I4" s="18">
        <f>D4/C4</f>
        <v>1.0000000000000002</v>
      </c>
      <c r="J4" s="18">
        <f>G4/Parametros!$B$6</f>
        <v>1235.4166666666667</v>
      </c>
    </row>
    <row r="5" spans="1:10" x14ac:dyDescent="0.35">
      <c r="A5">
        <f>Pricing!A5</f>
        <v>20000</v>
      </c>
      <c r="B5" s="18">
        <f>Pricing!B5</f>
        <v>203333.33333333331</v>
      </c>
      <c r="C5" s="18">
        <f>Pricing!C5</f>
        <v>7999.9999999999991</v>
      </c>
      <c r="D5" s="18">
        <f>Dashboard_Cliente!$C$12</f>
        <v>2000</v>
      </c>
      <c r="E5" s="18">
        <f>C5*Parametros!$B$6</f>
        <v>191999.99999999997</v>
      </c>
      <c r="F5" s="18">
        <f>B5+E5</f>
        <v>395333.33333333326</v>
      </c>
      <c r="G5" s="18">
        <f>Custos!B5+(Custos!C5*Parametros!$B$6)</f>
        <v>118600</v>
      </c>
      <c r="H5" s="18">
        <f>F5-G5</f>
        <v>276733.33333333326</v>
      </c>
      <c r="I5" s="18">
        <f>D5/C5</f>
        <v>0.25000000000000006</v>
      </c>
      <c r="J5" s="18">
        <f>G5/Parametros!$B$6</f>
        <v>4941.666666666667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Dashboard_Cliente</vt:lpstr>
      <vt:lpstr>Parametros</vt:lpstr>
      <vt:lpstr>Volumes</vt:lpstr>
      <vt:lpstr>Custos</vt:lpstr>
      <vt:lpstr>Pricing</vt:lpstr>
      <vt:lpstr>Financial_Model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Nucci Ferrari</cp:lastModifiedBy>
  <dcterms:created xsi:type="dcterms:W3CDTF">2026-02-26T17:38:17Z</dcterms:created>
  <dcterms:modified xsi:type="dcterms:W3CDTF">2026-02-26T19:47:01Z</dcterms:modified>
</cp:coreProperties>
</file>